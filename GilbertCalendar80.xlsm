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4u-my.sharepoint.com/personal/gilbert_fonga_suez_com/Documents/Bureau/Bangou/"/>
    </mc:Choice>
  </mc:AlternateContent>
  <xr:revisionPtr revIDLastSave="338" documentId="8_{8E66F1A0-D380-4770-844C-F4C5D87EFBD6}" xr6:coauthVersionLast="47" xr6:coauthVersionMax="47" xr10:uidLastSave="{A6AD18EE-A11B-4EFC-B9B7-783455351EC7}"/>
  <bookViews>
    <workbookView xWindow="-14850" yWindow="-16320" windowWidth="29040" windowHeight="15720" xr2:uid="{87CE08DA-AC98-4B46-A295-30E6F9D65BEC}"/>
  </bookViews>
  <sheets>
    <sheet name="Calendrier" sheetId="2" r:id="rId1"/>
    <sheet name="Param" sheetId="3" r:id="rId2"/>
    <sheet name="Feuil1" sheetId="1" r:id="rId3"/>
    <sheet name="_Sys" sheetId="4" state="veryHidden" r:id="rId4"/>
  </sheets>
  <functionGroups builtInGroupCount="19"/>
  <definedNames>
    <definedName name="Param_Annee">Calendrier!$F$5</definedName>
    <definedName name="Param_Mois">Calendrier!$H$5</definedName>
    <definedName name="Param_MTrad">Calendrier!$K$5</definedName>
    <definedName name="Param_Village">Calendrier!$J$5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9" i="3" l="1"/>
  <c r="AB19" i="3"/>
  <c r="Z19" i="3"/>
</calcChain>
</file>

<file path=xl/sharedStrings.xml><?xml version="1.0" encoding="utf-8"?>
<sst xmlns="http://schemas.openxmlformats.org/spreadsheetml/2006/main" count="358" uniqueCount="166">
  <si>
    <t>Village</t>
  </si>
  <si>
    <t>J1</t>
  </si>
  <si>
    <t>J2</t>
  </si>
  <si>
    <t>J3</t>
  </si>
  <si>
    <t>J4</t>
  </si>
  <si>
    <t>J5</t>
  </si>
  <si>
    <t>J6</t>
  </si>
  <si>
    <t>J7</t>
  </si>
  <si>
    <t>J8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</si>
  <si>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</si>
  <si>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</si>
  <si>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</si>
  <si>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</si>
  <si>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</si>
  <si>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</si>
  <si>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</si>
  <si>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</si>
  <si>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</si>
  <si>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</si>
  <si>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</si>
  <si>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</si>
  <si>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Jour interdit1</t>
  </si>
  <si>
    <t>Jour interdit2</t>
  </si>
  <si>
    <t>Jour interdit3</t>
  </si>
  <si>
    <t>Jour du marché1</t>
  </si>
  <si>
    <t>Jour du marché2</t>
  </si>
  <si>
    <t>Jour du marché3</t>
  </si>
  <si>
    <t>Année</t>
  </si>
  <si>
    <t>Calendrier traditionnel Afro-Vibrant</t>
  </si>
  <si>
    <t>Dinkon</t>
  </si>
  <si>
    <t>Dintouo</t>
  </si>
  <si>
    <t>Guendjou</t>
  </si>
  <si>
    <t>Ntassak</t>
  </si>
  <si>
    <t>Nzeuleug</t>
  </si>
  <si>
    <t>Ntambeté</t>
  </si>
  <si>
    <t>Guefack</t>
  </si>
  <si>
    <t>Nduh</t>
  </si>
  <si>
    <t>Akon</t>
  </si>
  <si>
    <t>Bisa</t>
  </si>
  <si>
    <t>Kete</t>
  </si>
  <si>
    <t>Fufu</t>
  </si>
  <si>
    <t>Dede</t>
  </si>
  <si>
    <t>Hunu</t>
  </si>
  <si>
    <t>Mensa</t>
  </si>
  <si>
    <t>Kwaku</t>
  </si>
  <si>
    <t>Yaa</t>
  </si>
  <si>
    <t>Kofi</t>
  </si>
  <si>
    <t>Kwame</t>
  </si>
  <si>
    <t>Adwoa</t>
  </si>
  <si>
    <t>Date</t>
  </si>
  <si>
    <t>Jour</t>
  </si>
  <si>
    <t>Trad.</t>
  </si>
  <si>
    <t>Dimanche</t>
  </si>
  <si>
    <t>Lundi</t>
  </si>
  <si>
    <t>Mardi</t>
  </si>
  <si>
    <t>Mercredi</t>
  </si>
  <si>
    <t>Jeudi</t>
  </si>
  <si>
    <t>Vendredi</t>
  </si>
  <si>
    <t>Samedi</t>
  </si>
  <si>
    <t>AnchorJ (1..8)</t>
  </si>
  <si>
    <t>Mois</t>
  </si>
  <si>
    <t>AnchorDate (globale)</t>
  </si>
  <si>
    <t>cheu</t>
  </si>
  <si>
    <t>Tiè</t>
  </si>
  <si>
    <t>Tah</t>
  </si>
  <si>
    <t>Ntah</t>
  </si>
  <si>
    <t>Mbouh</t>
  </si>
  <si>
    <t>Tountah</t>
  </si>
  <si>
    <t>Sa Majesté NGIENTCHO</t>
  </si>
  <si>
    <t>Sa Majesté FONGA</t>
  </si>
  <si>
    <t>BANGOU</t>
  </si>
  <si>
    <t>BAMENA</t>
  </si>
  <si>
    <t>BAZOU</t>
  </si>
  <si>
    <t>BALENGOU</t>
  </si>
  <si>
    <t>BANGANGTE</t>
  </si>
  <si>
    <t>BATCHINGOU</t>
  </si>
  <si>
    <t>BAFANG</t>
  </si>
  <si>
    <t>BAFOUSSAM</t>
  </si>
  <si>
    <t>BANJOUN</t>
  </si>
  <si>
    <t>BAHAM</t>
  </si>
  <si>
    <t>BANGAM</t>
  </si>
  <si>
    <t>BANDREFAM</t>
  </si>
  <si>
    <t>BAMENDJOU</t>
  </si>
  <si>
    <t>BAKONDJI</t>
  </si>
  <si>
    <t>BALENG</t>
  </si>
  <si>
    <t>DSHANG</t>
  </si>
  <si>
    <t>BANSOA</t>
  </si>
  <si>
    <t>BAMEKA</t>
  </si>
  <si>
    <t>Dynastie vielle de 300 ans environs, ancien site d'esclaves, 28 quartiers. Site touristique moderne.</t>
  </si>
  <si>
    <t>Roi du village:</t>
  </si>
  <si>
    <t>Jour de marché:</t>
  </si>
  <si>
    <t>Informations:</t>
  </si>
  <si>
    <t>Superficie de près de 56Km². Pour plus d'infos</t>
  </si>
  <si>
    <t>Roi du village:2</t>
  </si>
  <si>
    <t>Sa majesté Njitack Ngompe Pelé</t>
  </si>
  <si>
    <t>BAYANGAM</t>
  </si>
  <si>
    <t>Sa Majesté POUOKAM II</t>
  </si>
  <si>
    <t>Sa Majesté Marcelin Happy Tchoua</t>
  </si>
  <si>
    <t>Sa Majesté Nji Mohnlu Siedou Pokam</t>
  </si>
  <si>
    <t>Sa Majesté NGUEMEGNI HAPPI Guy Elvis</t>
  </si>
  <si>
    <t xml:space="preserve">Sa Majesté Sa Majesté Guillaume Alain NEGOU TELA </t>
  </si>
  <si>
    <t>Sa Majesté Diomo Kamga Honoré</t>
  </si>
  <si>
    <t>Sa Majesté André Flaubert NANA</t>
  </si>
  <si>
    <t>Sa Majesté POUOKAM TEGUIA Max2</t>
  </si>
  <si>
    <t>BANWA</t>
  </si>
  <si>
    <t>BANGOUA</t>
  </si>
  <si>
    <t>Sa Majesté Austère Durand MOUMI 3</t>
  </si>
  <si>
    <t>Sa Majesté René KAMGA NGANDJUI</t>
  </si>
  <si>
    <t>Sa Majesté TAKUKAM Jean-Raymond</t>
  </si>
  <si>
    <t>Sa Majesté Jean-Rameau SOUKOUDJOU</t>
  </si>
  <si>
    <t>Sa Majesté GeorgesJIEJIP TCOMGANG</t>
  </si>
  <si>
    <t>Sa Majesté TCHINDA 2 DJONTU JEAN DEDIEU</t>
  </si>
  <si>
    <t>Sa Majesté POUFONG</t>
  </si>
  <si>
    <t>BANA</t>
  </si>
  <si>
    <t>Sa Majesté Sikam Happi 5</t>
  </si>
  <si>
    <t>BANOUNGA</t>
  </si>
  <si>
    <t>Sa  Majesté Louis NGAPMOU</t>
  </si>
  <si>
    <t>Sa Majesté Yannick Julio DJAMPOU</t>
  </si>
  <si>
    <t>BATIE</t>
  </si>
  <si>
    <t>Sa Ma jesté Théodore TCHOUANKAM DADA</t>
  </si>
  <si>
    <t>Sa Majesté Guy Bertrand MOMO SOFFACK 1er</t>
  </si>
  <si>
    <t>MBOUDA</t>
  </si>
  <si>
    <t>Li'Nkap</t>
  </si>
  <si>
    <t>Nzengheu</t>
  </si>
  <si>
    <t>Li'Ntio</t>
  </si>
  <si>
    <t>Nzedjio</t>
  </si>
  <si>
    <t>Nzeleung</t>
  </si>
  <si>
    <t>Li'Nkong</t>
  </si>
  <si>
    <t>Nta'Sang</t>
  </si>
  <si>
    <t>Ngueudjou</t>
  </si>
  <si>
    <t>Nka'gnia</t>
  </si>
  <si>
    <t>Zeu'gnia</t>
  </si>
  <si>
    <t>Ti'zoueu</t>
  </si>
  <si>
    <t>Sou'gnia</t>
  </si>
  <si>
    <t>Nkap'djap</t>
  </si>
  <si>
    <t>Tcho'zoueu</t>
  </si>
  <si>
    <t>Zue'Diap</t>
  </si>
  <si>
    <t>Chui'Kwelè</t>
  </si>
  <si>
    <t>Tchoua'Kwelè</t>
  </si>
  <si>
    <t>Mbuo'gnia</t>
  </si>
  <si>
    <t>Ngèdjou</t>
  </si>
  <si>
    <t>Nzeu'gheu</t>
  </si>
  <si>
    <t>Ndi'keun</t>
  </si>
  <si>
    <t>Ndin'kap</t>
  </si>
  <si>
    <t>Ndi'bou</t>
  </si>
  <si>
    <t>Ndi'kong</t>
  </si>
  <si>
    <t>Nditcheu</t>
  </si>
  <si>
    <t>1 – Akon</t>
  </si>
  <si>
    <t>2 – Bisa</t>
  </si>
  <si>
    <t>3 – Kete</t>
  </si>
  <si>
    <t>4 – Fufu</t>
  </si>
  <si>
    <t>5 – Dede</t>
  </si>
  <si>
    <t>6 – Hunu</t>
  </si>
  <si>
    <t>7 – Mensa</t>
  </si>
  <si>
    <t>8 – Kwaku</t>
  </si>
  <si>
    <t>9 – Yaa</t>
  </si>
  <si>
    <t>10 – Kofi</t>
  </si>
  <si>
    <t>11 – Kwame</t>
  </si>
  <si>
    <t>12 – Adwoa</t>
  </si>
  <si>
    <t>Février 2026 — Bisa</t>
  </si>
  <si>
    <t>Mars 2026 — Kete</t>
  </si>
  <si>
    <t>Avril 2026 — Fufu</t>
  </si>
  <si>
    <t>Nduh= Chefferie</t>
  </si>
  <si>
    <t>Dintouo= Carrefeour</t>
  </si>
  <si>
    <t>Guendjou= Kamna</t>
  </si>
  <si>
    <t>Jours interdits : Nduh, Dintouo, Guendjou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</si>
</sst>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dd/mm/yyyy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20"/>
      <color rgb="FF1A237E"/>
      <name val="Aptos Narrow"/>
      <family val="2"/>
      <scheme val="minor"/>
    </font>
    <font>
      <sz val="10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11"/>
      <color rgb="FF5D4037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0"/>
      <color theme="1"/>
      <name val="Segoe UI"/>
      <family val="2"/>
    </font>
    <font>
      <b/>
      <sz val="14"/>
      <color rgb="FFC00000"/>
      <name val="Segoe UI"/>
      <family val="2"/>
    </font>
    <font>
      <b/>
      <sz val="12"/>
      <color rgb="FF00B050"/>
      <name val="Segoe UI"/>
      <family val="2"/>
    </font>
    <font>
      <b/>
      <sz val="10"/>
      <color rgb="FFD32F2F"/>
      <name val="Segoe UI"/>
      <family val="2"/>
    </font>
    <font>
      <u/>
      <sz val="11"/>
      <color theme="10"/>
      <name val="Aptos Narrow"/>
      <family val="2"/>
      <scheme val="minor"/>
    </font>
    <font>
      <sz val="12"/>
      <color rgb="FF040C28"/>
      <name val="Arial"/>
      <family val="2"/>
    </font>
    <font>
      <sz val="11"/>
      <color rgb="FF040C28"/>
      <name val="Arial"/>
      <family val="2"/>
    </font>
    <font>
      <sz val="11"/>
      <color rgb="FF080809"/>
      <name val="Segoe UI Historic"/>
      <family val="2"/>
    </font>
    <font>
      <sz val="11"/>
      <color rgb="FF20212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B3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A237E"/>
        <bgColor indexed="64"/>
      </patternFill>
    </fill>
    <fill>
      <patternFill patternType="solid">
        <fgColor rgb="FFE4F1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680"/>
        <bgColor indexed="64"/>
      </patternFill>
    </fill>
  </fills>
  <borders count="22">
    <border>
      <left/>
      <right/>
      <top/>
      <bottom/>
      <diagonal/>
    </border>
    <border>
      <left style="hair">
        <color rgb="FFD2D2D2"/>
      </left>
      <right style="hair">
        <color rgb="FFD2D2D2"/>
      </right>
      <top style="hair">
        <color rgb="FFD2D2D2"/>
      </top>
      <bottom style="hair">
        <color rgb="FFD2D2D2"/>
      </bottom>
      <diagonal/>
    </border>
    <border>
      <left style="medium">
        <color rgb="FF787878"/>
      </left>
      <right/>
      <top/>
      <bottom/>
      <diagonal/>
    </border>
    <border>
      <left style="hair">
        <color rgb="FFD2D2D2"/>
      </left>
      <right style="hair">
        <color rgb="FFD2D2D2"/>
      </right>
      <top style="hair">
        <color rgb="FFD2D2D2"/>
      </top>
      <bottom/>
      <diagonal/>
    </border>
    <border>
      <left style="hair">
        <color rgb="FFD2D2D2"/>
      </left>
      <right/>
      <top style="hair">
        <color rgb="FFD2D2D2"/>
      </top>
      <bottom style="thick">
        <color rgb="FF5A5A5A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medium">
        <color rgb="FF5A5A5A"/>
      </left>
      <right style="medium">
        <color rgb="FF5A5A5A"/>
      </right>
      <top style="medium">
        <color rgb="FF5A5A5A"/>
      </top>
      <bottom style="medium">
        <color rgb="FF5A5A5A"/>
      </bottom>
      <diagonal/>
    </border>
    <border>
      <left style="medium">
        <color rgb="FF5A5A5A"/>
      </left>
      <right style="medium">
        <color rgb="FF5A5A5A"/>
      </right>
      <top style="medium">
        <color rgb="FF5A5A5A"/>
      </top>
      <bottom/>
      <diagonal/>
    </border>
    <border>
      <left style="medium">
        <color rgb="FF5A5A5A"/>
      </left>
      <right style="hair">
        <color rgb="FFD2D2D2"/>
      </right>
      <top style="medium">
        <color rgb="FF5A5A5A"/>
      </top>
      <bottom style="hair">
        <color rgb="FFD2D2D2"/>
      </bottom>
      <diagonal/>
    </border>
    <border>
      <left style="hair">
        <color rgb="FFD2D2D2"/>
      </left>
      <right style="hair">
        <color rgb="FFD2D2D2"/>
      </right>
      <top style="medium">
        <color rgb="FF5A5A5A"/>
      </top>
      <bottom style="hair">
        <color rgb="FFD2D2D2"/>
      </bottom>
      <diagonal/>
    </border>
    <border>
      <left style="hair">
        <color rgb="FFD2D2D2"/>
      </left>
      <right style="medium">
        <color rgb="FF5A5A5A"/>
      </right>
      <top style="medium">
        <color rgb="FF5A5A5A"/>
      </top>
      <bottom style="hair">
        <color rgb="FFD2D2D2"/>
      </bottom>
      <diagonal/>
    </border>
    <border>
      <left style="medium">
        <color rgb="FF5A5A5A"/>
      </left>
      <right style="hair">
        <color rgb="FFD2D2D2"/>
      </right>
      <top style="hair">
        <color rgb="FFD2D2D2"/>
      </top>
      <bottom style="hair">
        <color rgb="FFD2D2D2"/>
      </bottom>
      <diagonal/>
    </border>
    <border>
      <left style="hair">
        <color rgb="FFD2D2D2"/>
      </left>
      <right style="medium">
        <color rgb="FF5A5A5A"/>
      </right>
      <top style="hair">
        <color rgb="FFD2D2D2"/>
      </top>
      <bottom style="hair">
        <color rgb="FFD2D2D2"/>
      </bottom>
      <diagonal/>
    </border>
    <border>
      <left style="medium">
        <color rgb="FF5A5A5A"/>
      </left>
      <right/>
      <top style="medium">
        <color rgb="FF5A5A5A"/>
      </top>
      <bottom style="medium">
        <color rgb="FF5A5A5A"/>
      </bottom>
      <diagonal/>
    </border>
    <border>
      <left style="medium">
        <color rgb="FF5A5A5A"/>
      </left>
      <right/>
      <top style="medium">
        <color rgb="FF5A5A5A"/>
      </top>
      <bottom/>
      <diagonal/>
    </border>
    <border>
      <left style="hair">
        <color rgb="FFD2D2D2"/>
      </left>
      <right/>
      <top style="medium">
        <color rgb="FF5A5A5A"/>
      </top>
      <bottom style="hair">
        <color rgb="FFD2D2D2"/>
      </bottom>
      <diagonal/>
    </border>
    <border>
      <left style="hair">
        <color rgb="FFD2D2D2"/>
      </left>
      <right/>
      <top style="hair">
        <color rgb="FFD2D2D2"/>
      </top>
      <bottom style="hair">
        <color rgb="FFD2D2D2"/>
      </bottom>
      <diagonal/>
    </border>
    <border>
      <left style="medium">
        <color rgb="FF5A5A5A"/>
      </left>
      <right style="hair">
        <color rgb="FFD2D2D2"/>
      </right>
      <top style="hair">
        <color rgb="FFD2D2D2"/>
      </top>
      <bottom/>
      <diagonal/>
    </border>
    <border>
      <left style="hair">
        <color rgb="FFD2D2D2"/>
      </left>
      <right/>
      <top style="hair">
        <color rgb="FFD2D2D2"/>
      </top>
      <bottom/>
      <diagonal/>
    </border>
    <border>
      <left style="hair">
        <color rgb="FFD2D2D2"/>
      </left>
      <right style="medium">
        <color rgb="FF5A5A5A"/>
      </right>
      <top style="hair">
        <color rgb="FFD2D2D2"/>
      </top>
      <bottom/>
      <diagonal/>
    </border>
    <border>
      <left style="hair">
        <color rgb="FFD2D2D2"/>
      </left>
      <right style="medium">
        <color rgb="FF5A5A5A"/>
      </right>
      <top style="hair">
        <color rgb="FFD2D2D2"/>
      </top>
      <bottom style="thick">
        <color rgb="FF5A5A5A"/>
      </bottom>
      <diagonal/>
    </border>
    <border>
      <left style="medium">
        <color rgb="FF5A5A5A"/>
      </left>
      <right/>
      <top style="hair">
        <color rgb="FFD2D2D2"/>
      </top>
      <bottom style="thick">
        <color rgb="FF5A5A5A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6">
    <xf numFmtId="0" fontId="0" fillId="0" borderId="0" xfId="0"/>
    <xf numFmtId="0" fontId="2" fillId="3" borderId="0" xfId="0" applyFont="1" applyFill="1" applyAlignment="1">
      <alignment horizontal="center"/>
    </xf>
    <xf numFmtId="0" fontId="0" fillId="3" borderId="0" xfId="0" applyFill="1"/>
    <xf numFmtId="0" fontId="1" fillId="2" borderId="0" xfId="0" applyFont="1" applyFill="1"/>
    <xf numFmtId="0" fontId="0" fillId="3" borderId="0" xfId="0" applyFill="1" applyProtection="1"/>
    <xf numFmtId="0" fontId="3" fillId="2" borderId="0" xfId="0" applyFont="1" applyFill="1" applyAlignment="1" applyProtection="1">
      <alignment horizontal="center" vertical="center"/>
    </xf>
    <xf numFmtId="1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8" fillId="3" borderId="1" xfId="0" applyFont="1" applyFill="1" applyBorder="1" applyProtection="1"/>
    <xf numFmtId="0" fontId="8" fillId="3" borderId="3" xfId="0" applyFont="1" applyFill="1" applyBorder="1" applyProtection="1"/>
    <xf numFmtId="0" fontId="8" fillId="3" borderId="4" xfId="0" applyFont="1" applyFill="1" applyBorder="1" applyProtection="1"/>
    <xf numFmtId="0" fontId="8" fillId="3" borderId="2" xfId="0" applyFont="1" applyFill="1" applyBorder="1" applyProtection="1"/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8" fillId="5" borderId="1" xfId="0" applyFont="1" applyFill="1" applyBorder="1" applyProtection="1"/>
    <xf numFmtId="0" fontId="7" fillId="2" borderId="2" xfId="0" applyFont="1" applyFill="1" applyBorder="1" applyAlignment="1" applyProtection="1">
      <alignment horizontal="center"/>
    </xf>
    <xf numFmtId="0" fontId="8" fillId="5" borderId="2" xfId="0" applyFont="1" applyFill="1" applyBorder="1" applyProtection="1"/>
    <xf numFmtId="14" fontId="0" fillId="3" borderId="0" xfId="0" applyNumberFormat="1" applyFill="1"/>
    <xf numFmtId="0" fontId="0" fillId="3" borderId="0" xfId="0" applyNumberFormat="1" applyFill="1"/>
    <xf numFmtId="0" fontId="12" fillId="6" borderId="5" xfId="0" applyFont="1" applyFill="1" applyBorder="1" applyAlignment="1" applyProtection="1">
      <alignment horizontal="left" vertical="center"/>
    </xf>
    <xf numFmtId="0" fontId="5" fillId="6" borderId="5" xfId="0" applyFont="1" applyFill="1" applyBorder="1" applyAlignment="1" applyProtection="1">
      <alignment horizontal="left" vertical="center"/>
    </xf>
    <xf numFmtId="0" fontId="7" fillId="2" borderId="7" xfId="0" applyFont="1" applyFill="1" applyBorder="1" applyAlignment="1" applyProtection="1">
      <alignment horizontal="center"/>
    </xf>
    <xf numFmtId="0" fontId="8" fillId="3" borderId="9" xfId="0" applyFont="1" applyFill="1" applyBorder="1" applyProtection="1"/>
    <xf numFmtId="0" fontId="8" fillId="3" borderId="10" xfId="0" applyFont="1" applyFill="1" applyBorder="1" applyProtection="1"/>
    <xf numFmtId="0" fontId="8" fillId="5" borderId="11" xfId="0" applyFont="1" applyFill="1" applyBorder="1" applyProtection="1"/>
    <xf numFmtId="0" fontId="8" fillId="3" borderId="12" xfId="0" applyFont="1" applyFill="1" applyBorder="1" applyProtection="1"/>
    <xf numFmtId="0" fontId="8" fillId="3" borderId="11" xfId="0" applyFont="1" applyFill="1" applyBorder="1" applyProtection="1"/>
    <xf numFmtId="0" fontId="8" fillId="5" borderId="12" xfId="0" applyFont="1" applyFill="1" applyBorder="1" applyProtection="1"/>
    <xf numFmtId="0" fontId="7" fillId="2" borderId="14" xfId="0" applyFont="1" applyFill="1" applyBorder="1" applyAlignment="1" applyProtection="1">
      <alignment horizontal="center"/>
    </xf>
    <xf numFmtId="0" fontId="8" fillId="5" borderId="16" xfId="0" applyFont="1" applyFill="1" applyBorder="1" applyProtection="1"/>
    <xf numFmtId="0" fontId="8" fillId="3" borderId="16" xfId="0" applyFont="1" applyFill="1" applyBorder="1" applyProtection="1"/>
    <xf numFmtId="0" fontId="8" fillId="3" borderId="18" xfId="0" applyFont="1" applyFill="1" applyBorder="1" applyProtection="1"/>
    <xf numFmtId="0" fontId="8" fillId="3" borderId="19" xfId="0" applyFont="1" applyFill="1" applyBorder="1" applyProtection="1"/>
    <xf numFmtId="0" fontId="8" fillId="3" borderId="20" xfId="0" applyFont="1" applyFill="1" applyBorder="1" applyProtection="1"/>
    <xf numFmtId="0" fontId="8" fillId="3" borderId="21" xfId="0" applyFont="1" applyFill="1" applyBorder="1" applyProtection="1"/>
    <xf numFmtId="0" fontId="13" fillId="3" borderId="0" xfId="1" applyFill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3" borderId="0" xfId="0" applyFont="1" applyFill="1"/>
    <xf numFmtId="0" fontId="17" fillId="0" borderId="0" xfId="0" applyFont="1"/>
    <xf numFmtId="0" fontId="8" fillId="3" borderId="17" xfId="0" applyFont="1" applyFill="1" applyBorder="1" applyProtection="1"/>
    <xf numFmtId="0" fontId="2" fillId="7" borderId="1" xfId="0" applyFont="1" applyFill="1" applyBorder="1" applyProtection="1"/>
    <xf numFmtId="0" fontId="8" fillId="5" borderId="8" xfId="0" applyFont="1" applyFill="1" applyBorder="1" applyProtection="1"/>
    <xf numFmtId="0" fontId="8" fillId="5" borderId="9" xfId="0" applyFont="1" applyFill="1" applyBorder="1" applyProtection="1"/>
    <xf numFmtId="0" fontId="8" fillId="5" borderId="15" xfId="0" applyFont="1" applyFill="1" applyBorder="1" applyProtection="1"/>
    <xf numFmtId="0" fontId="2" fillId="7" borderId="16" xfId="0" applyFont="1" applyFill="1" applyBorder="1" applyProtection="1"/>
    <xf numFmtId="0" fontId="2" fillId="7" borderId="2" xfId="0" applyFont="1" applyFill="1" applyBorder="1" applyProtection="1"/>
    <xf numFmtId="0" fontId="9" fillId="6" borderId="5" xfId="0" applyFont="1" applyFill="1" applyBorder="1" applyAlignment="1" applyProtection="1">
      <alignment horizontal="left" vertical="center"/>
    </xf>
    <xf numFmtId="0" fontId="5" fillId="6" borderId="5" xfId="0" applyFont="1" applyFill="1" applyBorder="1" applyAlignment="1" applyProtection="1">
      <alignment horizontal="left" vertical="center" wrapText="1"/>
    </xf>
    <xf numFmtId="0" fontId="4" fillId="3" borderId="0" xfId="0" applyFont="1" applyFill="1" applyAlignment="1" applyProtection="1">
      <alignment horizontal="center" vertical="center"/>
    </xf>
    <xf numFmtId="0" fontId="11" fillId="6" borderId="5" xfId="0" applyFont="1" applyFill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10" fillId="6" borderId="5" xfId="0" applyFont="1" applyFill="1" applyBorder="1" applyAlignment="1" applyProtection="1">
      <alignment horizontal="left" vertical="center"/>
    </xf>
    <xf numFmtId="165" fontId="0" fillId="3" borderId="0" xfId="0" applyNumberFormat="1" applyFill="1"/>
  </cellXfs>
  <cellStyles count="2">
    <cellStyle name="Lien hypertexte" xfId="1" builtinId="8"/>
    <cellStyle name="Normal" xfId="0" builtinId="0"/>
  </cellStyles>
  <dxfs count="84"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ill>
        <patternFill>
          <fgColor indexed="64"/>
          <bgColor rgb="FFFFF8E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F8E1"/>
        </patternFill>
      </fill>
      <alignment horizontal="center" vertical="bottom" textRotation="0" wrapText="0" indent="0" justifyLastLine="0" shrinkToFit="0" readingOrder="0"/>
    </dxf>
    <dxf>
      <fill>
        <patternFill>
          <bgColor rgb="FFF8FAFD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  <dxf>
      <font>
        <b/>
        <i val="0"/>
        <color rgb="FFFFFFFF"/>
      </font>
      <fill>
        <patternFill>
          <bgColor rgb="FFD32F2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</xdr:row>
      <xdr:rowOff>158115</xdr:rowOff>
    </xdr:from>
    <xdr:to>
      <xdr:col>7</xdr:col>
      <xdr:colOff>981075</xdr:colOff>
      <xdr:row>49</xdr:row>
      <xdr:rowOff>66675</xdr:rowOff>
    </xdr:to>
    <xdr:sp macro="" textlink="">
      <xdr:nvSpPr>
        <xdr:cNvPr id="19" name="wm_render_center">
          <a:extLst>
            <a:ext uri="{FF2B5EF4-FFF2-40B4-BE49-F238E27FC236}">
              <a16:creationId xmlns:a16="http://schemas.microsoft.com/office/drawing/2014/main" id="{984B772D-97BC-F586-2886-2920AE88F665}"/>
            </a:ext>
          </a:extLst>
        </xdr:cNvPr>
        <xdr:cNvSpPr txBox="1"/>
      </xdr:nvSpPr>
      <xdr:spPr>
        <a:xfrm rot="2700000">
          <a:off x="1807845" y="3436620"/>
          <a:ext cx="9119235" cy="29241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2800" b="1" kern="1200">
              <a:solidFill>
                <a:srgbClr val="808080">
                  <a:alpha val="75000"/>
                </a:srgbClr>
              </a:solidFill>
              <a:latin typeface="Segoe UI" panose="020B0502040204020203" pitchFamily="34" charset="0"/>
            </a:rPr>
            <a:t>Calendrier du village BANGOU — © 2026</a:t>
          </a:r>
        </a:p>
        <a:p>
          <a:pPr algn="ctr"/>
          <a:r>
            <a:rPr lang="fr-FR" sz="2800" b="1" kern="1200">
              <a:solidFill>
                <a:srgbClr val="808080">
                  <a:alpha val="75000"/>
                </a:srgbClr>
              </a:solidFill>
              <a:latin typeface="Segoe UI" panose="020B0502040204020203" pitchFamily="34" charset="0"/>
            </a:rPr>
            <a:t>Proposé par G.FONGA</a:t>
          </a:r>
        </a:p>
      </xdr:txBody>
    </xdr:sp>
    <xdr:clientData/>
  </xdr:twoCellAnchor>
  <xdr:twoCellAnchor>
    <xdr:from>
      <xdr:col>2</xdr:col>
      <xdr:colOff>56878</xdr:colOff>
      <xdr:row>1</xdr:row>
      <xdr:rowOff>111125</xdr:rowOff>
    </xdr:from>
    <xdr:to>
      <xdr:col>3</xdr:col>
      <xdr:colOff>444228</xdr:colOff>
      <xdr:row>3</xdr:row>
      <xdr:rowOff>79375</xdr:rowOff>
    </xdr:to>
    <xdr:sp macro="Mod_UI.UI_Go_Prev3" textlink="">
      <xdr:nvSpPr>
        <xdr:cNvPr id="3" name="btnPrev3">
          <a:extLst>
            <a:ext uri="{FF2B5EF4-FFF2-40B4-BE49-F238E27FC236}">
              <a16:creationId xmlns:a16="http://schemas.microsoft.com/office/drawing/2014/main" id="{7D7AC2DC-F1F8-AFD7-F6DE-485A86A748AA}"/>
            </a:ext>
          </a:extLst>
        </xdr:cNvPr>
        <xdr:cNvSpPr/>
      </xdr:nvSpPr>
      <xdr:spPr>
        <a:xfrm>
          <a:off x="1857103" y="292100"/>
          <a:ext cx="1397000" cy="330200"/>
        </a:xfrm>
        <a:prstGeom prst="roundRect">
          <a:avLst/>
        </a:prstGeom>
        <a:solidFill>
          <a:srgbClr val="FFA5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&lt;&lt;&lt; 3 mois</a:t>
          </a:r>
        </a:p>
      </xdr:txBody>
    </xdr:sp>
    <xdr:clientData/>
  </xdr:twoCellAnchor>
  <xdr:twoCellAnchor>
    <xdr:from>
      <xdr:col>3</xdr:col>
      <xdr:colOff>495391</xdr:colOff>
      <xdr:row>1</xdr:row>
      <xdr:rowOff>111125</xdr:rowOff>
    </xdr:from>
    <xdr:to>
      <xdr:col>4</xdr:col>
      <xdr:colOff>882741</xdr:colOff>
      <xdr:row>3</xdr:row>
      <xdr:rowOff>79375</xdr:rowOff>
    </xdr:to>
    <xdr:sp macro="Mod_UI.UI_Go_Next3" textlink="">
      <xdr:nvSpPr>
        <xdr:cNvPr id="4" name="btnNext3">
          <a:extLst>
            <a:ext uri="{FF2B5EF4-FFF2-40B4-BE49-F238E27FC236}">
              <a16:creationId xmlns:a16="http://schemas.microsoft.com/office/drawing/2014/main" id="{B4F98850-F6C2-A81B-1063-81E5E5AE55CA}"/>
            </a:ext>
          </a:extLst>
        </xdr:cNvPr>
        <xdr:cNvSpPr/>
      </xdr:nvSpPr>
      <xdr:spPr>
        <a:xfrm>
          <a:off x="3305266" y="292100"/>
          <a:ext cx="1397000" cy="330200"/>
        </a:xfrm>
        <a:prstGeom prst="roundRect">
          <a:avLst/>
        </a:prstGeom>
        <a:solidFill>
          <a:srgbClr val="FFA5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3 mois &gt;&gt;&gt;</a:t>
          </a:r>
        </a:p>
      </xdr:txBody>
    </xdr:sp>
    <xdr:clientData/>
  </xdr:twoCellAnchor>
  <xdr:twoCellAnchor>
    <xdr:from>
      <xdr:col>4</xdr:col>
      <xdr:colOff>933904</xdr:colOff>
      <xdr:row>1</xdr:row>
      <xdr:rowOff>111125</xdr:rowOff>
    </xdr:from>
    <xdr:to>
      <xdr:col>6</xdr:col>
      <xdr:colOff>311604</xdr:colOff>
      <xdr:row>3</xdr:row>
      <xdr:rowOff>79375</xdr:rowOff>
    </xdr:to>
    <xdr:sp macro="Mod_UI.UI_Go_PrevYear" textlink="">
      <xdr:nvSpPr>
        <xdr:cNvPr id="5" name="btnPrevY">
          <a:extLst>
            <a:ext uri="{FF2B5EF4-FFF2-40B4-BE49-F238E27FC236}">
              <a16:creationId xmlns:a16="http://schemas.microsoft.com/office/drawing/2014/main" id="{B3A1B067-672E-4626-5F20-17B09DC171A1}"/>
            </a:ext>
          </a:extLst>
        </xdr:cNvPr>
        <xdr:cNvSpPr/>
      </xdr:nvSpPr>
      <xdr:spPr>
        <a:xfrm>
          <a:off x="4753429" y="292100"/>
          <a:ext cx="1397000" cy="3302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&lt;&lt; 1 an</a:t>
          </a:r>
        </a:p>
      </xdr:txBody>
    </xdr:sp>
    <xdr:clientData/>
  </xdr:twoCellAnchor>
  <xdr:twoCellAnchor>
    <xdr:from>
      <xdr:col>6</xdr:col>
      <xdr:colOff>362767</xdr:colOff>
      <xdr:row>1</xdr:row>
      <xdr:rowOff>111125</xdr:rowOff>
    </xdr:from>
    <xdr:to>
      <xdr:col>7</xdr:col>
      <xdr:colOff>750117</xdr:colOff>
      <xdr:row>3</xdr:row>
      <xdr:rowOff>79375</xdr:rowOff>
    </xdr:to>
    <xdr:sp macro="Mod_UI.UI_Go_NextYear" textlink="">
      <xdr:nvSpPr>
        <xdr:cNvPr id="6" name="btnNextY">
          <a:extLst>
            <a:ext uri="{FF2B5EF4-FFF2-40B4-BE49-F238E27FC236}">
              <a16:creationId xmlns:a16="http://schemas.microsoft.com/office/drawing/2014/main" id="{A477BEFC-8C73-809D-D4D7-FD57E1F37F9B}"/>
            </a:ext>
          </a:extLst>
        </xdr:cNvPr>
        <xdr:cNvSpPr/>
      </xdr:nvSpPr>
      <xdr:spPr>
        <a:xfrm>
          <a:off x="6201592" y="292100"/>
          <a:ext cx="1397000" cy="3302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1 an &gt;&gt;</a:t>
          </a:r>
        </a:p>
      </xdr:txBody>
    </xdr:sp>
    <xdr:clientData/>
  </xdr:twoCellAnchor>
  <xdr:twoCellAnchor>
    <xdr:from>
      <xdr:col>7</xdr:col>
      <xdr:colOff>801280</xdr:colOff>
      <xdr:row>1</xdr:row>
      <xdr:rowOff>111125</xdr:rowOff>
    </xdr:from>
    <xdr:to>
      <xdr:col>9</xdr:col>
      <xdr:colOff>178980</xdr:colOff>
      <xdr:row>3</xdr:row>
      <xdr:rowOff>79375</xdr:rowOff>
    </xdr:to>
    <xdr:sp macro="Mod_UI.UI_Go_Today" textlink="">
      <xdr:nvSpPr>
        <xdr:cNvPr id="9" name="btnToday">
          <a:extLst>
            <a:ext uri="{FF2B5EF4-FFF2-40B4-BE49-F238E27FC236}">
              <a16:creationId xmlns:a16="http://schemas.microsoft.com/office/drawing/2014/main" id="{4021A31E-810F-D151-D85E-9699B7B79D99}"/>
            </a:ext>
          </a:extLst>
        </xdr:cNvPr>
        <xdr:cNvSpPr/>
      </xdr:nvSpPr>
      <xdr:spPr>
        <a:xfrm>
          <a:off x="7649755" y="292100"/>
          <a:ext cx="1397000" cy="330200"/>
        </a:xfrm>
        <a:prstGeom prst="roundRect">
          <a:avLst/>
        </a:prstGeom>
        <a:solidFill>
          <a:srgbClr val="0097A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Aujourd'hui</a:t>
          </a:r>
        </a:p>
      </xdr:txBody>
    </xdr:sp>
    <xdr:clientData/>
  </xdr:twoCellAnchor>
  <xdr:twoCellAnchor>
    <xdr:from>
      <xdr:col>9</xdr:col>
      <xdr:colOff>230143</xdr:colOff>
      <xdr:row>1</xdr:row>
      <xdr:rowOff>111125</xdr:rowOff>
    </xdr:from>
    <xdr:to>
      <xdr:col>10</xdr:col>
      <xdr:colOff>998493</xdr:colOff>
      <xdr:row>3</xdr:row>
      <xdr:rowOff>79375</xdr:rowOff>
    </xdr:to>
    <xdr:sp macro="Mod_UI.UI_Goto_TraditionalMonth" textlink="">
      <xdr:nvSpPr>
        <xdr:cNvPr id="10" name="btnGotoTrad">
          <a:extLst>
            <a:ext uri="{FF2B5EF4-FFF2-40B4-BE49-F238E27FC236}">
              <a16:creationId xmlns:a16="http://schemas.microsoft.com/office/drawing/2014/main" id="{A0E769F2-4686-1AE1-1E75-85B32285D615}"/>
            </a:ext>
          </a:extLst>
        </xdr:cNvPr>
        <xdr:cNvSpPr/>
      </xdr:nvSpPr>
      <xdr:spPr>
        <a:xfrm>
          <a:off x="9097918" y="292100"/>
          <a:ext cx="1778000" cy="330200"/>
        </a:xfrm>
        <a:prstGeom prst="roundRect">
          <a:avLst/>
        </a:prstGeom>
        <a:solidFill>
          <a:srgbClr val="1A237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kern="1200">
              <a:solidFill>
                <a:srgbClr val="FFFFFF"/>
              </a:solidFill>
              <a:latin typeface="Segoe UI" panose="020B0502040204020203" pitchFamily="34" charset="0"/>
            </a:rPr>
            <a:t>Aller à MTrad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</xdr:colOff>
      <xdr:row>1</xdr:row>
      <xdr:rowOff>1905</xdr:rowOff>
    </xdr:from>
    <xdr:to>
      <xdr:col>10</xdr:col>
      <xdr:colOff>208280</xdr:colOff>
      <xdr:row>2</xdr:row>
      <xdr:rowOff>125730</xdr:rowOff>
    </xdr:to>
    <xdr:sp macro="Mod_Security.Sec_ActivateLevel3" textlink="">
      <xdr:nvSpPr>
        <xdr:cNvPr id="4" name="btn_Activer_Protection">
          <a:extLst>
            <a:ext uri="{FF2B5EF4-FFF2-40B4-BE49-F238E27FC236}">
              <a16:creationId xmlns:a16="http://schemas.microsoft.com/office/drawing/2014/main" id="{3E96CC5B-42F2-811D-741B-E11112F98B78}"/>
            </a:ext>
          </a:extLst>
        </xdr:cNvPr>
        <xdr:cNvSpPr/>
      </xdr:nvSpPr>
      <xdr:spPr>
        <a:xfrm>
          <a:off x="5021580" y="182880"/>
          <a:ext cx="1778000" cy="304800"/>
        </a:xfrm>
        <a:prstGeom prst="roundRect">
          <a:avLst>
            <a:gd name="adj" fmla="val 20000"/>
          </a:avLst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FFFFFF"/>
              </a:solidFill>
              <a:latin typeface="Segoe UI" panose="020B0502040204020203" pitchFamily="34" charset="0"/>
            </a:rPr>
            <a:t>Activer protection</a:t>
          </a:r>
        </a:p>
      </xdr:txBody>
    </xdr:sp>
    <xdr:clientData/>
  </xdr:twoCellAnchor>
  <xdr:twoCellAnchor>
    <xdr:from>
      <xdr:col>7</xdr:col>
      <xdr:colOff>1905</xdr:colOff>
      <xdr:row>2</xdr:row>
      <xdr:rowOff>3810</xdr:rowOff>
    </xdr:from>
    <xdr:to>
      <xdr:col>10</xdr:col>
      <xdr:colOff>208280</xdr:colOff>
      <xdr:row>3</xdr:row>
      <xdr:rowOff>127635</xdr:rowOff>
    </xdr:to>
    <xdr:sp macro="Mod_Security.Sec_DeactivateLevel3" textlink="">
      <xdr:nvSpPr>
        <xdr:cNvPr id="5" name="btn_Desactiver_Protection">
          <a:extLst>
            <a:ext uri="{FF2B5EF4-FFF2-40B4-BE49-F238E27FC236}">
              <a16:creationId xmlns:a16="http://schemas.microsoft.com/office/drawing/2014/main" id="{1EC58DF8-8DA4-E4DD-3566-D1EFC5D2594E}"/>
            </a:ext>
          </a:extLst>
        </xdr:cNvPr>
        <xdr:cNvSpPr/>
      </xdr:nvSpPr>
      <xdr:spPr>
        <a:xfrm>
          <a:off x="5021580" y="365760"/>
          <a:ext cx="1778000" cy="304800"/>
        </a:xfrm>
        <a:prstGeom prst="roundRect">
          <a:avLst>
            <a:gd name="adj" fmla="val 20000"/>
          </a:avLst>
        </a:prstGeom>
        <a:solidFill>
          <a:srgbClr val="D32F2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FFFFFF"/>
              </a:solidFill>
              <a:latin typeface="Segoe UI" panose="020B0502040204020203" pitchFamily="34" charset="0"/>
            </a:rPr>
            <a:t>Désactiver protection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5B8624-0910-4615-82FF-9DFB9FFE7DC5}" name="Param_Table" displayName="Param_Table" ref="A5:AD30" totalsRowShown="0" headerRowDxfId="79" dataDxfId="78">
  <autoFilter ref="A5:AD30" xr:uid="{905B8624-0910-4615-82FF-9DFB9FFE7DC5}"/>
  <sortState xmlns:xlrd2="http://schemas.microsoft.com/office/spreadsheetml/2017/richdata2" ref="A6:AD30">
    <sortCondition ref="A5:A30"/>
  </sortState>
  <tableColumns count="30">
    <tableColumn id="1" xr3:uid="{697AF305-E71D-4640-997D-ADE90A12874B}" name="Village" dataDxfId="77"/>
    <tableColumn id="2" xr3:uid="{5639BB20-3DE0-49A8-B205-1E7F12381360}" name="J1" dataDxfId="76"/>
    <tableColumn id="3" xr3:uid="{F0E81B13-2970-4FF0-AD23-DFD2BF34D2B8}" name="J2" dataDxfId="75"/>
    <tableColumn id="4" xr3:uid="{C0FD6735-C28F-46CE-88D0-525409148E02}" name="J3" dataDxfId="74"/>
    <tableColumn id="5" xr3:uid="{44A32EFA-DD99-4152-B024-4AAE5C9C583F}" name="J4" dataDxfId="73"/>
    <tableColumn id="6" xr3:uid="{4C0054FA-5A1C-4706-BED6-2AD5E09D73BB}" name="J5" dataDxfId="72"/>
    <tableColumn id="7" xr3:uid="{8662663D-3731-43F7-A901-B1F5025DFDF6}" name="J6" dataDxfId="71"/>
    <tableColumn id="8" xr3:uid="{07774543-A80A-4835-A027-A0654340E389}" name="J7" dataDxfId="70"/>
    <tableColumn id="9" xr3:uid="{AB025C3F-51DA-4E58-9C1B-50EE1457A655}" name="J8" dataDxfId="69"/>
    <tableColumn id="10" xr3:uid="{67732D40-E9F6-4929-A672-1B8A1BAA7192}" name="M1" dataDxfId="68"/>
    <tableColumn id="11" xr3:uid="{3BC5E6F6-FE60-47EB-8AA8-295DCD9A24E2}" name="M2" dataDxfId="67"/>
    <tableColumn id="12" xr3:uid="{1AFF615B-4A43-4886-93B4-B5B4FC287EB9}" name="M3" dataDxfId="66"/>
    <tableColumn id="13" xr3:uid="{8FADC7F4-09F7-4A35-911B-7DD7FC29AB69}" name="M4" dataDxfId="65"/>
    <tableColumn id="14" xr3:uid="{3DE19E88-DC4F-40FF-993E-90FDF8256090}" name="M5" dataDxfId="64"/>
    <tableColumn id="15" xr3:uid="{83BA7B63-F3C2-4712-8E82-F253629B6819}" name="M6" dataDxfId="63"/>
    <tableColumn id="16" xr3:uid="{EF74B6F4-1108-4263-9773-D6D1753A044D}" name="M7" dataDxfId="62"/>
    <tableColumn id="17" xr3:uid="{9B0EA96B-3571-4ECA-8D91-BB639CE4475D}" name="M8" dataDxfId="61"/>
    <tableColumn id="18" xr3:uid="{87033863-76D8-46C2-82E5-AA4B3444D2CD}" name="M9" dataDxfId="60"/>
    <tableColumn id="19" xr3:uid="{0D442933-255F-426A-B13A-F037858AEB44}" name="M10" dataDxfId="59"/>
    <tableColumn id="20" xr3:uid="{61804E17-9A08-4143-BFE1-95A1A9E90E62}" name="M11" dataDxfId="58"/>
    <tableColumn id="21" xr3:uid="{275E1CEE-CF0D-4B37-9E25-1CA9001E704E}" name="M12" dataDxfId="57"/>
    <tableColumn id="22" xr3:uid="{1C028948-7E40-485D-880A-51FEADFA4A47}" name="Jour interdit1" dataDxfId="56"/>
    <tableColumn id="23" xr3:uid="{8D37C6EC-CC24-4E32-B365-C653A4AEF866}" name="Jour interdit2" dataDxfId="55"/>
    <tableColumn id="24" xr3:uid="{817829B9-FACF-42DC-A1D9-7CB77258330E}" name="Jour interdit3" dataDxfId="54"/>
    <tableColumn id="25" xr3:uid="{A56BB830-4114-4426-82A6-C2BB2C06EE4C}" name="Roi du village:" dataDxfId="53"/>
    <tableColumn id="26" xr3:uid="{4070AAE0-897C-42CC-A490-F309347DE3AB}" name="Jour du marché1" dataDxfId="52"/>
    <tableColumn id="27" xr3:uid="{09A50FE1-E2E9-4B96-B410-DF2CA149164E}" name="Jour du marché2" dataDxfId="51"/>
    <tableColumn id="28" xr3:uid="{B23AD847-7DFC-41E4-9578-D8BA032A085E}" name="Jour du marché3" dataDxfId="50"/>
    <tableColumn id="29" xr3:uid="{1F04CADD-1F07-4972-896A-90ADB32F7862}" name="Informations:" dataDxfId="49"/>
    <tableColumn id="30" xr3:uid="{27F20E00-B4C4-430D-9EED-35F03D533579}" name="Roi du village:2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s://www.royaumebaham.com/index.php?id_fovu=3&amp;tsa=historiq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837DB-0AC5-4F6D-BEE9-A9036FA67916}">
  <sheetPr codeName="Feuil2"/>
  <dimension ref="C5:M45"/>
  <sheetViews>
    <sheetView tabSelected="1" workbookViewId="0">
      <selection activeCell="J5" sqref="J5"/>
    </sheetView>
  </sheetViews>
  <sheetFormatPr baseColWidth="10" defaultRowHeight="14.4" x14ac:dyDescent="0.3"/>
  <cols>
    <col min="1" max="1" width="11.5546875" style="4"/>
    <col min="2" max="11" width="14.77734375" style="4" customWidth="1"/>
    <col min="12" max="13" width="14.77734375" style="4" hidden="1" customWidth="1"/>
    <col min="14" max="26" width="0" style="4" hidden="1" customWidth="1"/>
    <col min="27" max="16384" width="11.5546875" style="4"/>
  </cols>
  <sheetData>
    <row r="5" spans="3:11" ht="25.95" customHeight="1" x14ac:dyDescent="0.3">
      <c r="E5" s="5" t="s">
        <v>27</v>
      </c>
      <c r="F5" s="6">
        <v>2026</v>
      </c>
      <c r="G5" s="5" t="s">
        <v>60</v>
      </c>
      <c r="H5" s="12">
        <v>3</v>
      </c>
      <c r="I5" s="5" t="s">
        <v>0</v>
      </c>
      <c r="J5" s="7" t="s">
        <v>70</v>
      </c>
      <c r="K5" s="7" t="s">
        <v>149</v>
      </c>
    </row>
    <row r="6" spans="3:11" ht="25.8" x14ac:dyDescent="0.3">
      <c r="C6" s="49" t="s">
        <v>28</v>
      </c>
      <c r="D6" s="49"/>
      <c r="E6" s="49"/>
      <c r="F6" s="49"/>
      <c r="G6" s="49"/>
      <c r="H6" s="49"/>
      <c r="I6" s="49"/>
      <c r="J6" s="49"/>
      <c r="K6" s="49"/>
    </row>
    <row r="7" spans="3:11" ht="15" thickBot="1" x14ac:dyDescent="0.35"/>
    <row r="8" spans="3:11" ht="18" thickBot="1" x14ac:dyDescent="0.35">
      <c r="C8" s="51" t="s">
        <v>159</v>
      </c>
      <c r="D8" s="51"/>
      <c r="E8" s="52"/>
      <c r="F8" s="53" t="s">
        <v>160</v>
      </c>
      <c r="G8" s="51"/>
      <c r="H8" s="52"/>
      <c r="I8" s="53" t="s">
        <v>161</v>
      </c>
      <c r="J8" s="51"/>
      <c r="K8" s="51"/>
    </row>
    <row r="9" spans="3:11" ht="15" thickBot="1" x14ac:dyDescent="0.35">
      <c r="C9" s="20" t="s">
        <v>49</v>
      </c>
      <c r="D9" s="20" t="s">
        <v>50</v>
      </c>
      <c r="E9" s="27" t="s">
        <v>51</v>
      </c>
      <c r="F9" s="14" t="s">
        <v>49</v>
      </c>
      <c r="G9" s="20" t="s">
        <v>50</v>
      </c>
      <c r="H9" s="27" t="s">
        <v>51</v>
      </c>
      <c r="I9" s="14" t="s">
        <v>49</v>
      </c>
      <c r="J9" s="20" t="s">
        <v>50</v>
      </c>
      <c r="K9" s="20" t="s">
        <v>51</v>
      </c>
    </row>
    <row r="10" spans="3:11" x14ac:dyDescent="0.3">
      <c r="C10" s="42">
        <v>1</v>
      </c>
      <c r="D10" s="43" t="s">
        <v>52</v>
      </c>
      <c r="E10" s="44" t="s">
        <v>34</v>
      </c>
      <c r="F10" s="15">
        <v>1</v>
      </c>
      <c r="G10" s="43" t="s">
        <v>52</v>
      </c>
      <c r="H10" s="44" t="s">
        <v>30</v>
      </c>
      <c r="I10" s="11">
        <v>1</v>
      </c>
      <c r="J10" s="21" t="s">
        <v>55</v>
      </c>
      <c r="K10" s="22" t="s">
        <v>29</v>
      </c>
    </row>
    <row r="11" spans="3:11" x14ac:dyDescent="0.3">
      <c r="C11" s="25">
        <v>2</v>
      </c>
      <c r="D11" s="8" t="s">
        <v>53</v>
      </c>
      <c r="E11" s="29" t="s">
        <v>35</v>
      </c>
      <c r="F11" s="11">
        <v>2</v>
      </c>
      <c r="G11" s="8" t="s">
        <v>53</v>
      </c>
      <c r="H11" s="29" t="s">
        <v>31</v>
      </c>
      <c r="I11" s="11">
        <v>2</v>
      </c>
      <c r="J11" s="8" t="s">
        <v>56</v>
      </c>
      <c r="K11" s="24" t="s">
        <v>30</v>
      </c>
    </row>
    <row r="12" spans="3:11" x14ac:dyDescent="0.3">
      <c r="C12" s="25">
        <v>3</v>
      </c>
      <c r="D12" s="8" t="s">
        <v>54</v>
      </c>
      <c r="E12" s="29" t="s">
        <v>36</v>
      </c>
      <c r="F12" s="11">
        <v>3</v>
      </c>
      <c r="G12" s="8" t="s">
        <v>54</v>
      </c>
      <c r="H12" s="29" t="s">
        <v>32</v>
      </c>
      <c r="I12" s="11">
        <v>3</v>
      </c>
      <c r="J12" s="8" t="s">
        <v>57</v>
      </c>
      <c r="K12" s="24" t="s">
        <v>31</v>
      </c>
    </row>
    <row r="13" spans="3:11" x14ac:dyDescent="0.3">
      <c r="C13" s="25">
        <v>4</v>
      </c>
      <c r="D13" s="8" t="s">
        <v>55</v>
      </c>
      <c r="E13" s="29" t="s">
        <v>29</v>
      </c>
      <c r="F13" s="11">
        <v>4</v>
      </c>
      <c r="G13" s="8" t="s">
        <v>55</v>
      </c>
      <c r="H13" s="29" t="s">
        <v>33</v>
      </c>
      <c r="I13" s="11">
        <v>4</v>
      </c>
      <c r="J13" s="8" t="s">
        <v>58</v>
      </c>
      <c r="K13" s="24" t="s">
        <v>32</v>
      </c>
    </row>
    <row r="14" spans="3:11" x14ac:dyDescent="0.3">
      <c r="C14" s="25">
        <v>5</v>
      </c>
      <c r="D14" s="8" t="s">
        <v>56</v>
      </c>
      <c r="E14" s="29" t="s">
        <v>30</v>
      </c>
      <c r="F14" s="11">
        <v>5</v>
      </c>
      <c r="G14" s="8" t="s">
        <v>56</v>
      </c>
      <c r="H14" s="29" t="s">
        <v>34</v>
      </c>
      <c r="I14" s="15">
        <v>5</v>
      </c>
      <c r="J14" s="13" t="s">
        <v>52</v>
      </c>
      <c r="K14" s="26" t="s">
        <v>33</v>
      </c>
    </row>
    <row r="15" spans="3:11" x14ac:dyDescent="0.3">
      <c r="C15" s="25">
        <v>6</v>
      </c>
      <c r="D15" s="8" t="s">
        <v>57</v>
      </c>
      <c r="E15" s="29" t="s">
        <v>31</v>
      </c>
      <c r="F15" s="46">
        <v>6</v>
      </c>
      <c r="G15" s="41" t="s">
        <v>57</v>
      </c>
      <c r="H15" s="45" t="s">
        <v>35</v>
      </c>
      <c r="I15" s="11">
        <v>6</v>
      </c>
      <c r="J15" s="8" t="s">
        <v>53</v>
      </c>
      <c r="K15" s="24" t="s">
        <v>34</v>
      </c>
    </row>
    <row r="16" spans="3:11" x14ac:dyDescent="0.3">
      <c r="C16" s="25">
        <v>7</v>
      </c>
      <c r="D16" s="8" t="s">
        <v>58</v>
      </c>
      <c r="E16" s="29" t="s">
        <v>32</v>
      </c>
      <c r="F16" s="11">
        <v>7</v>
      </c>
      <c r="G16" s="8" t="s">
        <v>58</v>
      </c>
      <c r="H16" s="29" t="s">
        <v>36</v>
      </c>
      <c r="I16" s="11">
        <v>7</v>
      </c>
      <c r="J16" s="8" t="s">
        <v>54</v>
      </c>
      <c r="K16" s="24" t="s">
        <v>35</v>
      </c>
    </row>
    <row r="17" spans="3:11" x14ac:dyDescent="0.3">
      <c r="C17" s="23">
        <v>8</v>
      </c>
      <c r="D17" s="13" t="s">
        <v>52</v>
      </c>
      <c r="E17" s="28" t="s">
        <v>33</v>
      </c>
      <c r="F17" s="15">
        <v>8</v>
      </c>
      <c r="G17" s="13" t="s">
        <v>52</v>
      </c>
      <c r="H17" s="28" t="s">
        <v>29</v>
      </c>
      <c r="I17" s="11">
        <v>8</v>
      </c>
      <c r="J17" s="8" t="s">
        <v>55</v>
      </c>
      <c r="K17" s="24" t="s">
        <v>36</v>
      </c>
    </row>
    <row r="18" spans="3:11" x14ac:dyDescent="0.3">
      <c r="C18" s="25">
        <v>9</v>
      </c>
      <c r="D18" s="8" t="s">
        <v>53</v>
      </c>
      <c r="E18" s="29" t="s">
        <v>34</v>
      </c>
      <c r="F18" s="11">
        <v>9</v>
      </c>
      <c r="G18" s="8" t="s">
        <v>53</v>
      </c>
      <c r="H18" s="29" t="s">
        <v>30</v>
      </c>
      <c r="I18" s="11">
        <v>9</v>
      </c>
      <c r="J18" s="8" t="s">
        <v>56</v>
      </c>
      <c r="K18" s="24" t="s">
        <v>29</v>
      </c>
    </row>
    <row r="19" spans="3:11" x14ac:dyDescent="0.3">
      <c r="C19" s="25">
        <v>10</v>
      </c>
      <c r="D19" s="8" t="s">
        <v>54</v>
      </c>
      <c r="E19" s="29" t="s">
        <v>35</v>
      </c>
      <c r="F19" s="11">
        <v>10</v>
      </c>
      <c r="G19" s="8" t="s">
        <v>54</v>
      </c>
      <c r="H19" s="29" t="s">
        <v>31</v>
      </c>
      <c r="I19" s="11">
        <v>10</v>
      </c>
      <c r="J19" s="8" t="s">
        <v>57</v>
      </c>
      <c r="K19" s="24" t="s">
        <v>30</v>
      </c>
    </row>
    <row r="20" spans="3:11" x14ac:dyDescent="0.3">
      <c r="C20" s="25">
        <v>11</v>
      </c>
      <c r="D20" s="8" t="s">
        <v>55</v>
      </c>
      <c r="E20" s="29" t="s">
        <v>36</v>
      </c>
      <c r="F20" s="11">
        <v>11</v>
      </c>
      <c r="G20" s="8" t="s">
        <v>55</v>
      </c>
      <c r="H20" s="29" t="s">
        <v>32</v>
      </c>
      <c r="I20" s="11">
        <v>11</v>
      </c>
      <c r="J20" s="8" t="s">
        <v>58</v>
      </c>
      <c r="K20" s="24" t="s">
        <v>31</v>
      </c>
    </row>
    <row r="21" spans="3:11" x14ac:dyDescent="0.3">
      <c r="C21" s="25">
        <v>12</v>
      </c>
      <c r="D21" s="8" t="s">
        <v>56</v>
      </c>
      <c r="E21" s="29" t="s">
        <v>29</v>
      </c>
      <c r="F21" s="11">
        <v>12</v>
      </c>
      <c r="G21" s="8" t="s">
        <v>56</v>
      </c>
      <c r="H21" s="29" t="s">
        <v>33</v>
      </c>
      <c r="I21" s="15">
        <v>12</v>
      </c>
      <c r="J21" s="13" t="s">
        <v>52</v>
      </c>
      <c r="K21" s="26" t="s">
        <v>32</v>
      </c>
    </row>
    <row r="22" spans="3:11" x14ac:dyDescent="0.3">
      <c r="C22" s="25">
        <v>13</v>
      </c>
      <c r="D22" s="8" t="s">
        <v>57</v>
      </c>
      <c r="E22" s="29" t="s">
        <v>30</v>
      </c>
      <c r="F22" s="11">
        <v>13</v>
      </c>
      <c r="G22" s="8" t="s">
        <v>57</v>
      </c>
      <c r="H22" s="29" t="s">
        <v>34</v>
      </c>
      <c r="I22" s="11">
        <v>13</v>
      </c>
      <c r="J22" s="8" t="s">
        <v>53</v>
      </c>
      <c r="K22" s="24" t="s">
        <v>33</v>
      </c>
    </row>
    <row r="23" spans="3:11" x14ac:dyDescent="0.3">
      <c r="C23" s="25">
        <v>14</v>
      </c>
      <c r="D23" s="8" t="s">
        <v>58</v>
      </c>
      <c r="E23" s="29" t="s">
        <v>31</v>
      </c>
      <c r="F23" s="11">
        <v>14</v>
      </c>
      <c r="G23" s="8" t="s">
        <v>58</v>
      </c>
      <c r="H23" s="29" t="s">
        <v>35</v>
      </c>
      <c r="I23" s="11">
        <v>14</v>
      </c>
      <c r="J23" s="8" t="s">
        <v>54</v>
      </c>
      <c r="K23" s="24" t="s">
        <v>34</v>
      </c>
    </row>
    <row r="24" spans="3:11" x14ac:dyDescent="0.3">
      <c r="C24" s="23">
        <v>15</v>
      </c>
      <c r="D24" s="13" t="s">
        <v>52</v>
      </c>
      <c r="E24" s="28" t="s">
        <v>32</v>
      </c>
      <c r="F24" s="15">
        <v>15</v>
      </c>
      <c r="G24" s="13" t="s">
        <v>52</v>
      </c>
      <c r="H24" s="28" t="s">
        <v>36</v>
      </c>
      <c r="I24" s="11">
        <v>15</v>
      </c>
      <c r="J24" s="8" t="s">
        <v>55</v>
      </c>
      <c r="K24" s="24" t="s">
        <v>35</v>
      </c>
    </row>
    <row r="25" spans="3:11" x14ac:dyDescent="0.3">
      <c r="C25" s="25">
        <v>16</v>
      </c>
      <c r="D25" s="8" t="s">
        <v>53</v>
      </c>
      <c r="E25" s="29" t="s">
        <v>33</v>
      </c>
      <c r="F25" s="11">
        <v>16</v>
      </c>
      <c r="G25" s="8" t="s">
        <v>53</v>
      </c>
      <c r="H25" s="29" t="s">
        <v>29</v>
      </c>
      <c r="I25" s="11">
        <v>16</v>
      </c>
      <c r="J25" s="8" t="s">
        <v>56</v>
      </c>
      <c r="K25" s="24" t="s">
        <v>36</v>
      </c>
    </row>
    <row r="26" spans="3:11" x14ac:dyDescent="0.3">
      <c r="C26" s="25">
        <v>17</v>
      </c>
      <c r="D26" s="8" t="s">
        <v>54</v>
      </c>
      <c r="E26" s="29" t="s">
        <v>34</v>
      </c>
      <c r="F26" s="11">
        <v>17</v>
      </c>
      <c r="G26" s="8" t="s">
        <v>54</v>
      </c>
      <c r="H26" s="29" t="s">
        <v>30</v>
      </c>
      <c r="I26" s="11">
        <v>17</v>
      </c>
      <c r="J26" s="8" t="s">
        <v>57</v>
      </c>
      <c r="K26" s="24" t="s">
        <v>29</v>
      </c>
    </row>
    <row r="27" spans="3:11" x14ac:dyDescent="0.3">
      <c r="C27" s="25">
        <v>18</v>
      </c>
      <c r="D27" s="8" t="s">
        <v>55</v>
      </c>
      <c r="E27" s="29" t="s">
        <v>35</v>
      </c>
      <c r="F27" s="11">
        <v>18</v>
      </c>
      <c r="G27" s="8" t="s">
        <v>55</v>
      </c>
      <c r="H27" s="29" t="s">
        <v>31</v>
      </c>
      <c r="I27" s="11">
        <v>18</v>
      </c>
      <c r="J27" s="8" t="s">
        <v>58</v>
      </c>
      <c r="K27" s="24" t="s">
        <v>30</v>
      </c>
    </row>
    <row r="28" spans="3:11" x14ac:dyDescent="0.3">
      <c r="C28" s="25">
        <v>19</v>
      </c>
      <c r="D28" s="8" t="s">
        <v>56</v>
      </c>
      <c r="E28" s="29" t="s">
        <v>36</v>
      </c>
      <c r="F28" s="11">
        <v>19</v>
      </c>
      <c r="G28" s="8" t="s">
        <v>56</v>
      </c>
      <c r="H28" s="29" t="s">
        <v>32</v>
      </c>
      <c r="I28" s="15">
        <v>19</v>
      </c>
      <c r="J28" s="13" t="s">
        <v>52</v>
      </c>
      <c r="K28" s="26" t="s">
        <v>31</v>
      </c>
    </row>
    <row r="29" spans="3:11" x14ac:dyDescent="0.3">
      <c r="C29" s="25">
        <v>20</v>
      </c>
      <c r="D29" s="8" t="s">
        <v>57</v>
      </c>
      <c r="E29" s="29" t="s">
        <v>29</v>
      </c>
      <c r="F29" s="11">
        <v>20</v>
      </c>
      <c r="G29" s="8" t="s">
        <v>57</v>
      </c>
      <c r="H29" s="29" t="s">
        <v>33</v>
      </c>
      <c r="I29" s="11">
        <v>20</v>
      </c>
      <c r="J29" s="8" t="s">
        <v>53</v>
      </c>
      <c r="K29" s="24" t="s">
        <v>32</v>
      </c>
    </row>
    <row r="30" spans="3:11" x14ac:dyDescent="0.3">
      <c r="C30" s="25">
        <v>21</v>
      </c>
      <c r="D30" s="8" t="s">
        <v>58</v>
      </c>
      <c r="E30" s="29" t="s">
        <v>30</v>
      </c>
      <c r="F30" s="11">
        <v>21</v>
      </c>
      <c r="G30" s="8" t="s">
        <v>58</v>
      </c>
      <c r="H30" s="29" t="s">
        <v>34</v>
      </c>
      <c r="I30" s="11">
        <v>21</v>
      </c>
      <c r="J30" s="8" t="s">
        <v>54</v>
      </c>
      <c r="K30" s="24" t="s">
        <v>33</v>
      </c>
    </row>
    <row r="31" spans="3:11" x14ac:dyDescent="0.3">
      <c r="C31" s="23">
        <v>22</v>
      </c>
      <c r="D31" s="13" t="s">
        <v>52</v>
      </c>
      <c r="E31" s="28" t="s">
        <v>31</v>
      </c>
      <c r="F31" s="15">
        <v>22</v>
      </c>
      <c r="G31" s="13" t="s">
        <v>52</v>
      </c>
      <c r="H31" s="28" t="s">
        <v>35</v>
      </c>
      <c r="I31" s="11">
        <v>22</v>
      </c>
      <c r="J31" s="8" t="s">
        <v>55</v>
      </c>
      <c r="K31" s="24" t="s">
        <v>34</v>
      </c>
    </row>
    <row r="32" spans="3:11" x14ac:dyDescent="0.3">
      <c r="C32" s="25">
        <v>23</v>
      </c>
      <c r="D32" s="8" t="s">
        <v>53</v>
      </c>
      <c r="E32" s="29" t="s">
        <v>32</v>
      </c>
      <c r="F32" s="11">
        <v>23</v>
      </c>
      <c r="G32" s="8" t="s">
        <v>53</v>
      </c>
      <c r="H32" s="29" t="s">
        <v>36</v>
      </c>
      <c r="I32" s="11">
        <v>23</v>
      </c>
      <c r="J32" s="8" t="s">
        <v>56</v>
      </c>
      <c r="K32" s="24" t="s">
        <v>35</v>
      </c>
    </row>
    <row r="33" spans="3:11" x14ac:dyDescent="0.3">
      <c r="C33" s="25">
        <v>24</v>
      </c>
      <c r="D33" s="8" t="s">
        <v>54</v>
      </c>
      <c r="E33" s="29" t="s">
        <v>33</v>
      </c>
      <c r="F33" s="11">
        <v>24</v>
      </c>
      <c r="G33" s="8" t="s">
        <v>54</v>
      </c>
      <c r="H33" s="29" t="s">
        <v>29</v>
      </c>
      <c r="I33" s="11">
        <v>24</v>
      </c>
      <c r="J33" s="8" t="s">
        <v>57</v>
      </c>
      <c r="K33" s="24" t="s">
        <v>36</v>
      </c>
    </row>
    <row r="34" spans="3:11" x14ac:dyDescent="0.3">
      <c r="C34" s="25">
        <v>25</v>
      </c>
      <c r="D34" s="8" t="s">
        <v>55</v>
      </c>
      <c r="E34" s="29" t="s">
        <v>34</v>
      </c>
      <c r="F34" s="11">
        <v>25</v>
      </c>
      <c r="G34" s="8" t="s">
        <v>55</v>
      </c>
      <c r="H34" s="29" t="s">
        <v>30</v>
      </c>
      <c r="I34" s="11">
        <v>25</v>
      </c>
      <c r="J34" s="8" t="s">
        <v>58</v>
      </c>
      <c r="K34" s="24" t="s">
        <v>29</v>
      </c>
    </row>
    <row r="35" spans="3:11" x14ac:dyDescent="0.3">
      <c r="C35" s="25">
        <v>26</v>
      </c>
      <c r="D35" s="8" t="s">
        <v>56</v>
      </c>
      <c r="E35" s="29" t="s">
        <v>35</v>
      </c>
      <c r="F35" s="11">
        <v>26</v>
      </c>
      <c r="G35" s="8" t="s">
        <v>56</v>
      </c>
      <c r="H35" s="29" t="s">
        <v>31</v>
      </c>
      <c r="I35" s="15">
        <v>26</v>
      </c>
      <c r="J35" s="13" t="s">
        <v>52</v>
      </c>
      <c r="K35" s="26" t="s">
        <v>30</v>
      </c>
    </row>
    <row r="36" spans="3:11" x14ac:dyDescent="0.3">
      <c r="C36" s="25">
        <v>27</v>
      </c>
      <c r="D36" s="8" t="s">
        <v>57</v>
      </c>
      <c r="E36" s="29" t="s">
        <v>36</v>
      </c>
      <c r="F36" s="11">
        <v>27</v>
      </c>
      <c r="G36" s="8" t="s">
        <v>57</v>
      </c>
      <c r="H36" s="29" t="s">
        <v>32</v>
      </c>
      <c r="I36" s="11">
        <v>27</v>
      </c>
      <c r="J36" s="8" t="s">
        <v>53</v>
      </c>
      <c r="K36" s="24" t="s">
        <v>31</v>
      </c>
    </row>
    <row r="37" spans="3:11" x14ac:dyDescent="0.3">
      <c r="C37" s="25">
        <v>28</v>
      </c>
      <c r="D37" s="8" t="s">
        <v>58</v>
      </c>
      <c r="E37" s="29" t="s">
        <v>29</v>
      </c>
      <c r="F37" s="11">
        <v>28</v>
      </c>
      <c r="G37" s="8" t="s">
        <v>58</v>
      </c>
      <c r="H37" s="29" t="s">
        <v>33</v>
      </c>
      <c r="I37" s="11">
        <v>28</v>
      </c>
      <c r="J37" s="8" t="s">
        <v>54</v>
      </c>
      <c r="K37" s="24" t="s">
        <v>32</v>
      </c>
    </row>
    <row r="38" spans="3:11" x14ac:dyDescent="0.3">
      <c r="C38" s="25"/>
      <c r="D38" s="8"/>
      <c r="E38" s="29"/>
      <c r="F38" s="15">
        <v>29</v>
      </c>
      <c r="G38" s="13" t="s">
        <v>52</v>
      </c>
      <c r="H38" s="28" t="s">
        <v>34</v>
      </c>
      <c r="I38" s="11">
        <v>29</v>
      </c>
      <c r="J38" s="8" t="s">
        <v>55</v>
      </c>
      <c r="K38" s="24" t="s">
        <v>33</v>
      </c>
    </row>
    <row r="39" spans="3:11" x14ac:dyDescent="0.3">
      <c r="C39" s="40"/>
      <c r="D39" s="9"/>
      <c r="E39" s="30"/>
      <c r="F39" s="11">
        <v>30</v>
      </c>
      <c r="G39" s="9" t="s">
        <v>53</v>
      </c>
      <c r="H39" s="30" t="s">
        <v>35</v>
      </c>
      <c r="I39" s="11">
        <v>30</v>
      </c>
      <c r="J39" s="9" t="s">
        <v>56</v>
      </c>
      <c r="K39" s="31" t="s">
        <v>34</v>
      </c>
    </row>
    <row r="40" spans="3:11" ht="15" thickBot="1" x14ac:dyDescent="0.35">
      <c r="C40" s="33"/>
      <c r="D40" s="10"/>
      <c r="E40" s="10"/>
      <c r="F40" s="11">
        <v>31</v>
      </c>
      <c r="G40" s="10" t="s">
        <v>54</v>
      </c>
      <c r="H40" s="10" t="s">
        <v>36</v>
      </c>
      <c r="I40" s="11"/>
      <c r="J40" s="10"/>
      <c r="K40" s="32"/>
    </row>
    <row r="41" spans="3:11" ht="15" thickTop="1" x14ac:dyDescent="0.3"/>
    <row r="42" spans="3:11" ht="18" customHeight="1" x14ac:dyDescent="0.3">
      <c r="C42" s="47" t="s">
        <v>89</v>
      </c>
      <c r="D42" s="47"/>
      <c r="E42" s="54" t="s">
        <v>69</v>
      </c>
      <c r="F42" s="54"/>
      <c r="G42" s="54"/>
      <c r="H42" s="54"/>
      <c r="I42" s="54"/>
      <c r="J42" s="54"/>
      <c r="K42" s="54"/>
    </row>
    <row r="43" spans="3:11" ht="18" customHeight="1" x14ac:dyDescent="0.3">
      <c r="C43" s="47" t="s">
        <v>90</v>
      </c>
      <c r="D43" s="47"/>
      <c r="E43" s="47"/>
      <c r="F43" s="50" t="s">
        <v>162</v>
      </c>
      <c r="G43" s="50"/>
      <c r="H43" s="50" t="s">
        <v>163</v>
      </c>
      <c r="I43" s="50"/>
      <c r="J43" s="50" t="s">
        <v>164</v>
      </c>
      <c r="K43" s="50"/>
    </row>
    <row r="44" spans="3:11" ht="18" customHeight="1" x14ac:dyDescent="0.3">
      <c r="C44" s="47" t="s">
        <v>91</v>
      </c>
      <c r="D44" s="47"/>
      <c r="E44" s="48" t="s">
        <v>88</v>
      </c>
      <c r="F44" s="48"/>
      <c r="G44" s="48"/>
      <c r="H44" s="48"/>
      <c r="I44" s="48"/>
      <c r="J44" s="48"/>
      <c r="K44" s="48"/>
    </row>
    <row r="45" spans="3:11" ht="18" customHeight="1" x14ac:dyDescent="0.3">
      <c r="C45" s="18" t="s">
        <v>165</v>
      </c>
      <c r="D45" s="19"/>
      <c r="E45" s="19"/>
      <c r="F45" s="19"/>
      <c r="G45" s="19"/>
      <c r="H45" s="19"/>
      <c r="I45" s="19"/>
      <c r="J45" s="19"/>
      <c r="K45" s="19"/>
    </row>
  </sheetData>
  <sheetProtection sheet="1" objects="1" scenarios="1" selectLockedCells="1"/>
  <mergeCells count="12">
    <mergeCell ref="C44:D44"/>
    <mergeCell ref="E44:K44"/>
    <mergeCell ref="C6:K6"/>
    <mergeCell ref="C43:E43"/>
    <mergeCell ref="F43:G43"/>
    <mergeCell ref="H43:I43"/>
    <mergeCell ref="J43:K43"/>
    <mergeCell ref="C8:E8"/>
    <mergeCell ref="F8:H8"/>
    <mergeCell ref="I8:K8"/>
    <mergeCell ref="C42:D42"/>
    <mergeCell ref="E42:K42"/>
  </mergeCells>
  <conditionalFormatting sqref="E10:E40 H10:H40 K10:K40">
    <cfRule type="cellIs" dxfId="3" priority="1" operator="equal">
      <formula>"Nduh"</formula>
    </cfRule>
    <cfRule type="cellIs" dxfId="2" priority="2" operator="equal">
      <formula>"Dintouo"</formula>
    </cfRule>
    <cfRule type="cellIs" dxfId="1" priority="3" operator="equal">
      <formula>"Guendjou"</formula>
    </cfRule>
  </conditionalFormatting>
  <conditionalFormatting sqref="C10:K40">
    <cfRule type="expression" dxfId="0" priority="4">
      <formula>MOD(ROW(),2)=0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C53D710-F17A-431F-AA8A-7C4BA6ECEC62}">
          <x14:formula1>
            <xm:f>_Sys!$A$1:$A$12</xm:f>
          </x14:formula1>
          <xm:sqref>K5</xm:sqref>
        </x14:dataValidation>
        <x14:dataValidation type="list" allowBlank="1" showInputMessage="1" showErrorMessage="1" xr:uid="{ABA70132-E2D5-4F93-9736-18F7345AFD03}">
          <x14:formula1>
            <xm:f>Param!$A$6:$A$30</xm:f>
          </x14:formula1>
          <xm:sqref>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841D8-D370-40E2-AFA8-723D085DA44D}">
  <sheetPr codeName="Feuil3"/>
  <dimension ref="A1:AD30"/>
  <sheetViews>
    <sheetView workbookViewId="0">
      <selection activeCell="W38" sqref="W38"/>
    </sheetView>
  </sheetViews>
  <sheetFormatPr baseColWidth="10" defaultRowHeight="14.4" x14ac:dyDescent="0.3"/>
  <cols>
    <col min="1" max="1" width="19.5546875" style="2" bestFit="1" customWidth="1"/>
    <col min="2" max="2" width="10.33203125" style="2" bestFit="1" customWidth="1"/>
    <col min="3" max="3" width="7.77734375" style="2" bestFit="1" customWidth="1"/>
    <col min="4" max="4" width="9.33203125" style="2" bestFit="1" customWidth="1"/>
    <col min="5" max="5" width="8" style="2" bestFit="1" customWidth="1"/>
    <col min="6" max="6" width="8.88671875" style="2" bestFit="1" customWidth="1"/>
    <col min="7" max="7" width="9.33203125" style="2" bestFit="1" customWidth="1"/>
    <col min="8" max="8" width="7.88671875" style="2" bestFit="1" customWidth="1"/>
    <col min="9" max="9" width="7.109375" style="2" bestFit="1" customWidth="1"/>
    <col min="10" max="18" width="7.88671875" style="2" bestFit="1" customWidth="1"/>
    <col min="19" max="21" width="8.88671875" style="2" bestFit="1" customWidth="1"/>
    <col min="22" max="24" width="16.88671875" style="2" bestFit="1" customWidth="1"/>
    <col min="25" max="25" width="17.109375" style="2" bestFit="1" customWidth="1"/>
    <col min="26" max="28" width="19.5546875" style="2" bestFit="1" customWidth="1"/>
    <col min="29" max="29" width="43" style="2" bestFit="1" customWidth="1"/>
    <col min="30" max="16384" width="11.5546875" style="2"/>
  </cols>
  <sheetData>
    <row r="1" spans="1:30" x14ac:dyDescent="0.3">
      <c r="B1" s="16"/>
    </row>
    <row r="2" spans="1:30" x14ac:dyDescent="0.3">
      <c r="A2" s="3" t="s">
        <v>61</v>
      </c>
      <c r="B2" s="55">
        <v>46081</v>
      </c>
    </row>
    <row r="3" spans="1:30" x14ac:dyDescent="0.3">
      <c r="A3" s="3" t="s">
        <v>59</v>
      </c>
      <c r="B3" s="17">
        <v>1</v>
      </c>
    </row>
    <row r="5" spans="1:30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  <c r="N5" s="1" t="s">
        <v>13</v>
      </c>
      <c r="O5" s="1" t="s">
        <v>14</v>
      </c>
      <c r="P5" s="1" t="s">
        <v>15</v>
      </c>
      <c r="Q5" s="1" t="s">
        <v>16</v>
      </c>
      <c r="R5" s="1" t="s">
        <v>17</v>
      </c>
      <c r="S5" s="1" t="s">
        <v>18</v>
      </c>
      <c r="T5" s="1" t="s">
        <v>19</v>
      </c>
      <c r="U5" s="1" t="s">
        <v>20</v>
      </c>
      <c r="V5" s="1" t="s">
        <v>21</v>
      </c>
      <c r="W5" s="1" t="s">
        <v>22</v>
      </c>
      <c r="X5" s="1" t="s">
        <v>23</v>
      </c>
      <c r="Y5" s="1" t="s">
        <v>89</v>
      </c>
      <c r="Z5" s="1" t="s">
        <v>24</v>
      </c>
      <c r="AA5" s="1" t="s">
        <v>25</v>
      </c>
      <c r="AB5" s="1" t="s">
        <v>26</v>
      </c>
      <c r="AC5" s="1" t="s">
        <v>91</v>
      </c>
      <c r="AD5" s="1" t="s">
        <v>93</v>
      </c>
    </row>
    <row r="6" spans="1:30" ht="16.8" x14ac:dyDescent="0.4">
      <c r="A6" s="2" t="s">
        <v>76</v>
      </c>
      <c r="Y6" s="37" t="s">
        <v>107</v>
      </c>
    </row>
    <row r="7" spans="1:30" x14ac:dyDescent="0.3">
      <c r="A7" s="2" t="s">
        <v>77</v>
      </c>
      <c r="Y7" s="36" t="s">
        <v>94</v>
      </c>
    </row>
    <row r="8" spans="1:30" x14ac:dyDescent="0.3">
      <c r="A8" s="2" t="s">
        <v>79</v>
      </c>
      <c r="Y8" s="38" t="s">
        <v>103</v>
      </c>
      <c r="AC8" s="34" t="s">
        <v>92</v>
      </c>
      <c r="AD8" s="34"/>
    </row>
    <row r="9" spans="1:30" ht="16.8" x14ac:dyDescent="0.4">
      <c r="A9" s="2" t="s">
        <v>83</v>
      </c>
      <c r="Y9" s="37" t="s">
        <v>106</v>
      </c>
    </row>
    <row r="10" spans="1:30" x14ac:dyDescent="0.3">
      <c r="A10" s="2" t="s">
        <v>84</v>
      </c>
      <c r="Y10" s="38" t="s">
        <v>100</v>
      </c>
    </row>
    <row r="11" spans="1:30" x14ac:dyDescent="0.3">
      <c r="A11" s="2" t="s">
        <v>73</v>
      </c>
      <c r="B11" s="2" t="s">
        <v>140</v>
      </c>
      <c r="C11" s="2" t="s">
        <v>143</v>
      </c>
      <c r="D11" s="2" t="s">
        <v>141</v>
      </c>
      <c r="E11" s="2" t="s">
        <v>142</v>
      </c>
      <c r="F11" s="2" t="s">
        <v>125</v>
      </c>
      <c r="G11" s="2" t="s">
        <v>144</v>
      </c>
      <c r="H11" s="2" t="s">
        <v>145</v>
      </c>
      <c r="I11" s="2" t="s">
        <v>146</v>
      </c>
      <c r="J11" s="2" t="s">
        <v>130</v>
      </c>
      <c r="K11" s="2" t="s">
        <v>131</v>
      </c>
      <c r="L11" s="2" t="s">
        <v>132</v>
      </c>
      <c r="M11" s="2" t="s">
        <v>132</v>
      </c>
      <c r="N11" s="2" t="s">
        <v>133</v>
      </c>
      <c r="O11" s="2" t="s">
        <v>134</v>
      </c>
      <c r="P11" s="2" t="s">
        <v>135</v>
      </c>
      <c r="Q11" s="2" t="s">
        <v>135</v>
      </c>
      <c r="R11" s="2" t="s">
        <v>139</v>
      </c>
      <c r="S11" s="2" t="s">
        <v>136</v>
      </c>
      <c r="T11" s="2" t="s">
        <v>137</v>
      </c>
      <c r="U11" s="2" t="s">
        <v>138</v>
      </c>
      <c r="V11" s="2" t="s">
        <v>143</v>
      </c>
      <c r="W11" s="2" t="s">
        <v>125</v>
      </c>
      <c r="Y11" s="38" t="s">
        <v>99</v>
      </c>
    </row>
    <row r="12" spans="1:30" ht="16.8" x14ac:dyDescent="0.4">
      <c r="A12" s="2" t="s">
        <v>87</v>
      </c>
      <c r="Y12" s="37" t="s">
        <v>108</v>
      </c>
    </row>
    <row r="13" spans="1:30" x14ac:dyDescent="0.3">
      <c r="A13" s="2" t="s">
        <v>71</v>
      </c>
      <c r="B13" s="2" t="s">
        <v>122</v>
      </c>
      <c r="C13" s="2" t="s">
        <v>123</v>
      </c>
      <c r="D13" s="2" t="s">
        <v>124</v>
      </c>
      <c r="E13" s="2" t="s">
        <v>125</v>
      </c>
      <c r="F13" s="2" t="s">
        <v>126</v>
      </c>
      <c r="G13" s="2" t="s">
        <v>127</v>
      </c>
      <c r="H13" s="2" t="s">
        <v>128</v>
      </c>
      <c r="I13" s="2" t="s">
        <v>129</v>
      </c>
      <c r="V13" s="2" t="s">
        <v>62</v>
      </c>
      <c r="W13" s="2" t="s">
        <v>63</v>
      </c>
      <c r="X13" s="2" t="s">
        <v>64</v>
      </c>
      <c r="Y13" s="38" t="s">
        <v>68</v>
      </c>
      <c r="Z13" s="2" t="s">
        <v>65</v>
      </c>
      <c r="AA13" s="2" t="s">
        <v>66</v>
      </c>
      <c r="AB13" s="2" t="s">
        <v>67</v>
      </c>
    </row>
    <row r="14" spans="1:30" x14ac:dyDescent="0.3">
      <c r="A14" s="2" t="s">
        <v>82</v>
      </c>
      <c r="Y14" s="38" t="s">
        <v>109</v>
      </c>
    </row>
    <row r="15" spans="1:30" ht="15.6" x14ac:dyDescent="0.3">
      <c r="A15" s="2" t="s">
        <v>113</v>
      </c>
      <c r="Y15" s="35" t="s">
        <v>114</v>
      </c>
    </row>
    <row r="16" spans="1:30" ht="16.8" customHeight="1" x14ac:dyDescent="0.3">
      <c r="A16" s="2" t="s">
        <v>81</v>
      </c>
      <c r="Y16" s="38" t="s">
        <v>110</v>
      </c>
    </row>
    <row r="17" spans="1:29" ht="14.4" customHeight="1" x14ac:dyDescent="0.4">
      <c r="A17" s="2" t="s">
        <v>80</v>
      </c>
      <c r="Y17" s="37" t="s">
        <v>112</v>
      </c>
    </row>
    <row r="18" spans="1:29" x14ac:dyDescent="0.3">
      <c r="A18" s="2" t="s">
        <v>74</v>
      </c>
      <c r="Y18" s="39" t="s">
        <v>98</v>
      </c>
    </row>
    <row r="19" spans="1:29" ht="16.8" customHeight="1" x14ac:dyDescent="0.3">
      <c r="A19" s="2" t="s">
        <v>70</v>
      </c>
      <c r="B19" s="2" t="s">
        <v>29</v>
      </c>
      <c r="C19" s="2" t="s">
        <v>30</v>
      </c>
      <c r="D19" s="2" t="s">
        <v>31</v>
      </c>
      <c r="E19" s="2" t="s">
        <v>32</v>
      </c>
      <c r="F19" s="2" t="s">
        <v>33</v>
      </c>
      <c r="G19" s="2" t="s">
        <v>34</v>
      </c>
      <c r="H19" s="2" t="s">
        <v>35</v>
      </c>
      <c r="I19" s="2" t="s">
        <v>36</v>
      </c>
      <c r="J19" s="2" t="s">
        <v>37</v>
      </c>
      <c r="K19" s="2" t="s">
        <v>38</v>
      </c>
      <c r="L19" s="2" t="s">
        <v>39</v>
      </c>
      <c r="M19" s="2" t="s">
        <v>40</v>
      </c>
      <c r="N19" s="2" t="s">
        <v>41</v>
      </c>
      <c r="O19" s="2" t="s">
        <v>42</v>
      </c>
      <c r="P19" s="2" t="s">
        <v>43</v>
      </c>
      <c r="Q19" s="2" t="s">
        <v>44</v>
      </c>
      <c r="R19" s="2" t="s">
        <v>45</v>
      </c>
      <c r="S19" s="2" t="s">
        <v>46</v>
      </c>
      <c r="T19" s="2" t="s">
        <v>47</v>
      </c>
      <c r="U19" s="2" t="s">
        <v>48</v>
      </c>
      <c r="V19" s="2" t="s">
        <v>36</v>
      </c>
      <c r="W19" s="2" t="s">
        <v>30</v>
      </c>
      <c r="X19" s="2" t="s">
        <v>31</v>
      </c>
      <c r="Y19" s="38" t="s">
        <v>69</v>
      </c>
      <c r="Z19" s="2" t="str">
        <f>CONCATENATE(Param_Table[[#This Row],[Jour interdit1]],"= Chefferie")</f>
        <v>Nduh= Chefferie</v>
      </c>
      <c r="AA19" s="2" t="str">
        <f>CONCATENATE(Param_Table[[#This Row],[Jour interdit2]],"= Carrefeour")</f>
        <v>Dintouo= Carrefeour</v>
      </c>
      <c r="AB19" s="2" t="str">
        <f>CONCATENATE(Param_Table[[#This Row],[Jour interdit3]],"= Kamna")</f>
        <v>Guendjou= Kamna</v>
      </c>
      <c r="AC19" s="2" t="s">
        <v>88</v>
      </c>
    </row>
    <row r="20" spans="1:29" x14ac:dyDescent="0.3">
      <c r="A20" s="2" t="s">
        <v>105</v>
      </c>
      <c r="Y20" s="38" t="s">
        <v>117</v>
      </c>
    </row>
    <row r="21" spans="1:29" ht="14.4" customHeight="1" x14ac:dyDescent="0.4">
      <c r="A21" s="2" t="s">
        <v>78</v>
      </c>
      <c r="Y21" s="37" t="s">
        <v>101</v>
      </c>
    </row>
    <row r="22" spans="1:29" x14ac:dyDescent="0.3">
      <c r="A22" s="2" t="s">
        <v>115</v>
      </c>
      <c r="Y22" s="38" t="s">
        <v>116</v>
      </c>
    </row>
    <row r="23" spans="1:29" x14ac:dyDescent="0.3">
      <c r="A23" s="2" t="s">
        <v>86</v>
      </c>
      <c r="Y23" s="36" t="s">
        <v>111</v>
      </c>
    </row>
    <row r="24" spans="1:29" x14ac:dyDescent="0.3">
      <c r="A24" s="2" t="s">
        <v>104</v>
      </c>
      <c r="Y24" s="38"/>
    </row>
    <row r="25" spans="1:29" x14ac:dyDescent="0.3">
      <c r="A25" s="2" t="s">
        <v>75</v>
      </c>
      <c r="Y25" s="38" t="s">
        <v>102</v>
      </c>
    </row>
    <row r="26" spans="1:29" ht="15.6" x14ac:dyDescent="0.3">
      <c r="A26" s="2" t="s">
        <v>118</v>
      </c>
      <c r="Y26" s="35" t="s">
        <v>119</v>
      </c>
    </row>
    <row r="27" spans="1:29" x14ac:dyDescent="0.3">
      <c r="A27" s="2" t="s">
        <v>95</v>
      </c>
      <c r="Y27" s="36" t="s">
        <v>96</v>
      </c>
    </row>
    <row r="28" spans="1:29" x14ac:dyDescent="0.3">
      <c r="A28" s="2" t="s">
        <v>72</v>
      </c>
      <c r="Y28" s="38" t="s">
        <v>97</v>
      </c>
    </row>
    <row r="29" spans="1:29" ht="15.6" x14ac:dyDescent="0.3">
      <c r="A29" s="2" t="s">
        <v>85</v>
      </c>
      <c r="Y29" s="35" t="s">
        <v>120</v>
      </c>
    </row>
    <row r="30" spans="1:29" x14ac:dyDescent="0.3">
      <c r="A30" s="2" t="s">
        <v>121</v>
      </c>
      <c r="Y30" s="38"/>
    </row>
  </sheetData>
  <hyperlinks>
    <hyperlink ref="AC8" r:id="rId1" xr:uid="{FAD13FC4-7393-4F76-87A0-286B2B53E504}"/>
  </hyperlinks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63F4-CA7B-4774-9618-9604CDB88A3A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&amp;L_x000D_&amp;1#&amp;"Calibri"&amp;10&amp;K000000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73CE-9773-42C9-904C-ADD09477A23E}">
  <sheetPr codeName="Feuil4"/>
  <dimension ref="A1:A12"/>
  <sheetViews>
    <sheetView workbookViewId="0"/>
  </sheetViews>
  <sheetFormatPr baseColWidth="10" defaultRowHeight="14.4" x14ac:dyDescent="0.3"/>
  <sheetData>
    <row r="1" spans="1:1" x14ac:dyDescent="0.3">
      <c r="A1" t="s">
        <v>147</v>
      </c>
    </row>
    <row r="2" spans="1:1" x14ac:dyDescent="0.3">
      <c r="A2" t="s">
        <v>148</v>
      </c>
    </row>
    <row r="3" spans="1:1" x14ac:dyDescent="0.3">
      <c r="A3" t="s">
        <v>149</v>
      </c>
    </row>
    <row r="4" spans="1:1" x14ac:dyDescent="0.3">
      <c r="A4" t="s">
        <v>150</v>
      </c>
    </row>
    <row r="5" spans="1:1" x14ac:dyDescent="0.3">
      <c r="A5" t="s">
        <v>151</v>
      </c>
    </row>
    <row r="6" spans="1:1" x14ac:dyDescent="0.3">
      <c r="A6" t="s">
        <v>152</v>
      </c>
    </row>
    <row r="7" spans="1:1" x14ac:dyDescent="0.3">
      <c r="A7" t="s">
        <v>153</v>
      </c>
    </row>
    <row r="8" spans="1:1" x14ac:dyDescent="0.3">
      <c r="A8" t="s">
        <v>154</v>
      </c>
    </row>
    <row r="9" spans="1:1" x14ac:dyDescent="0.3">
      <c r="A9" t="s">
        <v>155</v>
      </c>
    </row>
    <row r="10" spans="1:1" x14ac:dyDescent="0.3">
      <c r="A10" t="s">
        <v>156</v>
      </c>
    </row>
    <row r="11" spans="1:1" x14ac:dyDescent="0.3">
      <c r="A11" t="s">
        <v>157</v>
      </c>
    </row>
    <row r="12" spans="1:1" x14ac:dyDescent="0.3">
      <c r="A12" t="s">
        <v>158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4d09258-035b-4e4f-ae3e-d79ff3d418d8}" enabled="1" method="Standard" siteId="{f4a12867-922d-4b9d-bb85-9ee7898512a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Calendrier</vt:lpstr>
      <vt:lpstr>Param</vt:lpstr>
      <vt:lpstr>Feuil1</vt:lpstr>
      <vt:lpstr>Param_Annee</vt:lpstr>
      <vt:lpstr>Param_Mois</vt:lpstr>
      <vt:lpstr>Param_MTrad</vt:lpstr>
      <vt:lpstr>Param_Village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Fonga, Gilbert</dc:creator>
  <cp:lastModifiedBy>Fonga, Gilbert</cp:lastModifiedBy>
  <dcterms:created xsi:type="dcterms:W3CDTF">2026-03-04T11:19:26Z</dcterms:created>
  <dcterms:modified xsi:type="dcterms:W3CDTF">2026-03-06T12:41:52Z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AL_PREF_YEAR">
    <vt:lpwstr>2026</vt:lpwstr>
  </property>
  <property fmtid="{D5CDD505-2E9C-101B-9397-08002B2CF9AE}" pid="3" name="CAL_PREF_MONTH">
    <vt:lpwstr>3</vt:lpwstr>
  </property>
  <property fmtid="{D5CDD505-2E9C-101B-9397-08002B2CF9AE}" pid="4" name="CAL_PREF_VILLAGE">
    <vt:lpwstr>BANGOU</vt:lpwstr>
  </property>
</Properties>
</file>